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转运清单" sheetId="1" state="visible" r:id="rId3"/>
    <sheet name="分类参考" sheetId="2" state="visible" r:id="rId4"/>
    <sheet name="统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<sst xmlns="http://schemas.openxmlformats.org/spreadsheetml/2006/main" count="113" uniqueCount="70">
  <si>
    <t xml:space="preserve">转运清单 · 不含食品 · 想到什么就往空行里填，告诉我物品名我帮你更新</t>
  </si>
  <si>
    <t xml:space="preserve">序号</t>
  </si>
  <si>
    <t xml:space="preserve">分类</t>
  </si>
  <si>
    <t xml:space="preserve">物品名称</t>
  </si>
  <si>
    <t xml:space="preserve">数量</t>
  </si>
  <si>
    <t xml:space="preserve">单位</t>
  </si>
  <si>
    <t xml:space="preserve">单件重量(g)</t>
  </si>
  <si>
    <t xml:space="preserve">预估总重(kg)</t>
  </si>
  <si>
    <t xml:space="preserve">优先级</t>
  </si>
  <si>
    <t xml:space="preserve">是否已装箱</t>
  </si>
  <si>
    <t xml:space="preserve">备注</t>
  </si>
  <si>
    <t xml:space="preserve">冬季保暖</t>
  </si>
  <si>
    <t xml:space="preserve">羽绒服</t>
  </si>
  <si>
    <t xml:space="preserve">件</t>
  </si>
  <si>
    <t xml:space="preserve">高</t>
  </si>
  <si>
    <t xml:space="preserve">否</t>
  </si>
  <si>
    <t xml:space="preserve">同价位国内选择更多</t>
  </si>
  <si>
    <t xml:space="preserve">保暖内衣</t>
  </si>
  <si>
    <t xml:space="preserve">套</t>
  </si>
  <si>
    <t xml:space="preserve">羊毛袜/厚袜子</t>
  </si>
  <si>
    <t xml:space="preserve">双</t>
  </si>
  <si>
    <t xml:space="preserve">中</t>
  </si>
  <si>
    <t xml:space="preserve">围巾手套</t>
  </si>
  <si>
    <t xml:space="preserve">冬季小物</t>
  </si>
  <si>
    <t xml:space="preserve">暖宝宝/暖贴</t>
  </si>
  <si>
    <t xml:space="preserve">包</t>
  </si>
  <si>
    <t xml:space="preserve">体积小、德国难买</t>
  </si>
  <si>
    <t xml:space="preserve">保温杯</t>
  </si>
  <si>
    <t xml:space="preserve">个</t>
  </si>
  <si>
    <t xml:space="preserve">热水袋</t>
  </si>
  <si>
    <t xml:space="preserve">低</t>
  </si>
  <si>
    <t xml:space="preserve">文具</t>
  </si>
  <si>
    <t xml:space="preserve">中性笔/签字笔</t>
  </si>
  <si>
    <t xml:space="preserve">支</t>
  </si>
  <si>
    <t xml:space="preserve">德国较贵</t>
  </si>
  <si>
    <t xml:space="preserve">笔记本</t>
  </si>
  <si>
    <t xml:space="preserve">本</t>
  </si>
  <si>
    <t xml:space="preserve">便利贴</t>
  </si>
  <si>
    <t xml:space="preserve">日用品</t>
  </si>
  <si>
    <t xml:space="preserve">手机壳</t>
  </si>
  <si>
    <t xml:space="preserve">数据线</t>
  </si>
  <si>
    <t xml:space="preserve">根</t>
  </si>
  <si>
    <t xml:space="preserve">转换插头</t>
  </si>
  <si>
    <t xml:space="preserve">其他</t>
  </si>
  <si>
    <t xml:space="preserve">想到什么就填这里</t>
  </si>
  <si>
    <t xml:space="preserve">适合转运的举例</t>
  </si>
  <si>
    <t xml:space="preserve">不建议转运</t>
  </si>
  <si>
    <t xml:space="preserve">羽绒服、保暖内衣、厚袜子、围巾手套</t>
  </si>
  <si>
    <t xml:space="preserve">当地打折时可买</t>
  </si>
  <si>
    <t xml:space="preserve">暖宝宝、保温杯、热水袋、加湿器</t>
  </si>
  <si>
    <t xml:space="preserve">大件电器</t>
  </si>
  <si>
    <t xml:space="preserve">笔、笔记本、便利贴、手账用品</t>
  </si>
  <si>
    <t xml:space="preserve">德国基础文具</t>
  </si>
  <si>
    <t xml:space="preserve">食品调料</t>
  </si>
  <si>
    <t xml:space="preserve">❌ 不转运</t>
  </si>
  <si>
    <t xml:space="preserve">海关限制、易漏、保质期问题</t>
  </si>
  <si>
    <t xml:space="preserve">手机壳、数据线、转换插头</t>
  </si>
  <si>
    <r>
      <rPr>
        <sz val="11"/>
        <color theme="1"/>
        <rFont val="Calibri"/>
        <family val="2"/>
        <charset val="1"/>
      </rPr>
      <t xml:space="preserve">DM/Rossmann </t>
    </r>
    <r>
      <rPr>
        <sz val="11"/>
        <color theme="1"/>
        <rFont val="Noto Sans SC"/>
        <family val="2"/>
        <charset val="1"/>
      </rPr>
      <t xml:space="preserve">便宜的洗护</t>
    </r>
  </si>
  <si>
    <t xml:space="preserve">电子产品</t>
  </si>
  <si>
    <t xml:space="preserve">数据线、充电宝(≤100Wh)</t>
  </si>
  <si>
    <t xml:space="preserve">需确认电压的大件</t>
  </si>
  <si>
    <t xml:space="preserve">自定义</t>
  </si>
  <si>
    <t xml:space="preserve">重要说明</t>
  </si>
  <si>
    <t xml:space="preserve">本批转运不含任何食品、调料、零食、茶叶等</t>
  </si>
  <si>
    <t xml:space="preserve">项目</t>
  </si>
  <si>
    <t xml:space="preserve">数值</t>
  </si>
  <si>
    <t xml:space="preserve">已填物品数</t>
  </si>
  <si>
    <t xml:space="preserve">已装箱数</t>
  </si>
  <si>
    <t xml:space="preserve">预估总重量(kg)</t>
  </si>
  <si>
    <t xml:space="preserve">高优先级数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</si>
</sst>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##"/>
    <numFmt numFmtId="166" formatCode="0.##"/>
  </numFmts>
  <fonts count="10">
    <font>
      <sz val="11"/>
      <color theme="1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4E79"/>
      <name val="Noto Sans SC"/>
      <family val="2"/>
      <charset val="1"/>
    </font>
    <font>
      <b val="true"/>
      <sz val="11"/>
      <color rgb="FFFFFFFF"/>
      <name val="Noto Sans SC"/>
      <family val="2"/>
      <charset val="1"/>
    </font>
    <font>
      <sz val="11"/>
      <color theme="1"/>
      <name val="Calibri"/>
      <family val="2"/>
      <charset val="1"/>
    </font>
    <font>
      <sz val="11"/>
      <color rgb="FFC00000"/>
      <name val="Noto Sans SC"/>
      <family val="2"/>
      <charset val="1"/>
    </font>
    <font>
      <b val="true"/>
      <sz val="11"/>
      <color rgb="FFC00000"/>
      <name val="Noto Sans SC"/>
      <family val="2"/>
      <charset val="1"/>
    </font>
    <font>
      <b val="true"/>
      <sz val="11"/>
      <name val="Noto Sans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4472C4"/>
        <bgColor rgb="FF66669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10.92"/>
    <col collapsed="false" customWidth="true" hidden="false" outlineLevel="0" max="3" min="3" style="1" width="20.01"/>
    <col collapsed="false" customWidth="true" hidden="false" outlineLevel="0" max="5" min="4" style="1" width="7.28"/>
    <col collapsed="false" customWidth="true" hidden="false" outlineLevel="0" max="6" min="6" style="1" width="10.92"/>
    <col collapsed="false" customWidth="true" hidden="false" outlineLevel="0" max="7" min="7" style="1" width="12.74"/>
    <col collapsed="false" customWidth="true" hidden="false" outlineLevel="0" max="8" min="8" style="1" width="7.28"/>
    <col collapsed="false" customWidth="true" hidden="false" outlineLevel="0" max="9" min="9" style="1" width="10.92"/>
    <col collapsed="false" customWidth="true" hidden="false" outlineLevel="0" max="10" min="10" style="1" width="25.47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6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" hidden="false" customHeight="true" outlineLevel="0" collapsed="false">
      <c r="A3" s="4" t="n">
        <v>1</v>
      </c>
      <c r="B3" s="5" t="s">
        <v>11</v>
      </c>
      <c r="C3" s="6" t="s">
        <v>12</v>
      </c>
      <c r="D3" s="4"/>
      <c r="E3" s="5" t="s">
        <v>13</v>
      </c>
      <c r="F3" s="5"/>
      <c r="G3" s="7" t="str">
        <f aca="false">IF(AND(ISNUMBER(D3),ISNUMBER(F3),D3&gt;0,F3&gt;0),D3*F3/1000,"")</f>
        <v/>
      </c>
      <c r="H3" s="5" t="s">
        <v>14</v>
      </c>
      <c r="I3" s="5" t="s">
        <v>15</v>
      </c>
      <c r="J3" s="6" t="s">
        <v>16</v>
      </c>
    </row>
    <row r="4" customFormat="false" ht="15" hidden="false" customHeight="true" outlineLevel="0" collapsed="false">
      <c r="A4" s="5" t="n">
        <v>2</v>
      </c>
      <c r="B4" s="5" t="s">
        <v>11</v>
      </c>
      <c r="C4" s="6" t="s">
        <v>17</v>
      </c>
      <c r="D4" s="5"/>
      <c r="E4" s="5" t="s">
        <v>18</v>
      </c>
      <c r="F4" s="5"/>
      <c r="G4" s="7" t="str">
        <f aca="false">IF(AND(ISNUMBER(D4),ISNUMBER(F4),D4&gt;0,F4&gt;0),D4*F4/1000,"")</f>
        <v/>
      </c>
      <c r="H4" s="5" t="s">
        <v>14</v>
      </c>
      <c r="I4" s="5" t="s">
        <v>15</v>
      </c>
      <c r="J4" s="6"/>
    </row>
    <row r="5" customFormat="false" ht="16.5" hidden="false" customHeight="true" outlineLevel="0" collapsed="false">
      <c r="A5" s="5" t="n">
        <v>3</v>
      </c>
      <c r="B5" s="5" t="s">
        <v>11</v>
      </c>
      <c r="C5" s="6" t="s">
        <v>19</v>
      </c>
      <c r="D5" s="5"/>
      <c r="E5" s="5" t="s">
        <v>20</v>
      </c>
      <c r="F5" s="5"/>
      <c r="G5" s="7" t="str">
        <f aca="false">IF(AND(ISNUMBER(D5),ISNUMBER(F5),D5&gt;0,F5&gt;0),D5*F5/1000,"")</f>
        <v/>
      </c>
      <c r="H5" s="5" t="s">
        <v>21</v>
      </c>
      <c r="I5" s="5" t="s">
        <v>15</v>
      </c>
      <c r="J5" s="6"/>
    </row>
    <row r="6" customFormat="false" ht="15" hidden="false" customHeight="true" outlineLevel="0" collapsed="false">
      <c r="A6" s="5" t="n">
        <v>4</v>
      </c>
      <c r="B6" s="5" t="s">
        <v>11</v>
      </c>
      <c r="C6" s="6" t="s">
        <v>22</v>
      </c>
      <c r="D6" s="5"/>
      <c r="E6" s="5" t="s">
        <v>18</v>
      </c>
      <c r="F6" s="5"/>
      <c r="G6" s="7" t="str">
        <f aca="false">IF(AND(ISNUMBER(D6),ISNUMBER(F6),D6&gt;0,F6&gt;0),D6*F6/1000,"")</f>
        <v/>
      </c>
      <c r="H6" s="5" t="s">
        <v>21</v>
      </c>
      <c r="I6" s="5" t="s">
        <v>15</v>
      </c>
      <c r="J6" s="6"/>
    </row>
    <row r="7" customFormat="false" ht="16.5" hidden="false" customHeight="true" outlineLevel="0" collapsed="false">
      <c r="A7" s="5" t="n">
        <v>5</v>
      </c>
      <c r="B7" s="5" t="s">
        <v>23</v>
      </c>
      <c r="C7" s="6" t="s">
        <v>24</v>
      </c>
      <c r="D7" s="5"/>
      <c r="E7" s="5" t="s">
        <v>25</v>
      </c>
      <c r="F7" s="5"/>
      <c r="G7" s="7" t="str">
        <f aca="false">IF(AND(ISNUMBER(D7),ISNUMBER(F7),D7&gt;0,F7&gt;0),D7*F7/1000,"")</f>
        <v/>
      </c>
      <c r="H7" s="5" t="s">
        <v>14</v>
      </c>
      <c r="I7" s="5" t="s">
        <v>15</v>
      </c>
      <c r="J7" s="6" t="s">
        <v>26</v>
      </c>
    </row>
    <row r="8" customFormat="false" ht="15" hidden="false" customHeight="true" outlineLevel="0" collapsed="false">
      <c r="A8" s="5" t="n">
        <v>6</v>
      </c>
      <c r="B8" s="5" t="s">
        <v>23</v>
      </c>
      <c r="C8" s="6" t="s">
        <v>27</v>
      </c>
      <c r="D8" s="5"/>
      <c r="E8" s="5" t="s">
        <v>28</v>
      </c>
      <c r="F8" s="5"/>
      <c r="G8" s="7" t="str">
        <f aca="false">IF(AND(ISNUMBER(D8),ISNUMBER(F8),D8&gt;0,F8&gt;0),D8*F8/1000,"")</f>
        <v/>
      </c>
      <c r="H8" s="5" t="s">
        <v>21</v>
      </c>
      <c r="I8" s="5" t="s">
        <v>15</v>
      </c>
      <c r="J8" s="6"/>
    </row>
    <row r="9" customFormat="false" ht="15" hidden="false" customHeight="true" outlineLevel="0" collapsed="false">
      <c r="A9" s="5" t="n">
        <v>7</v>
      </c>
      <c r="B9" s="5" t="s">
        <v>23</v>
      </c>
      <c r="C9" s="6" t="s">
        <v>29</v>
      </c>
      <c r="D9" s="5"/>
      <c r="E9" s="5" t="s">
        <v>28</v>
      </c>
      <c r="F9" s="5"/>
      <c r="G9" s="7" t="str">
        <f aca="false">IF(AND(ISNUMBER(D9),ISNUMBER(F9),D9&gt;0,F9&gt;0),D9*F9/1000,"")</f>
        <v/>
      </c>
      <c r="H9" s="5" t="s">
        <v>30</v>
      </c>
      <c r="I9" s="5" t="s">
        <v>15</v>
      </c>
      <c r="J9" s="6"/>
    </row>
    <row r="10" customFormat="false" ht="16.5" hidden="false" customHeight="true" outlineLevel="0" collapsed="false">
      <c r="A10" s="5" t="n">
        <v>8</v>
      </c>
      <c r="B10" s="5" t="s">
        <v>31</v>
      </c>
      <c r="C10" s="6" t="s">
        <v>32</v>
      </c>
      <c r="D10" s="5"/>
      <c r="E10" s="5" t="s">
        <v>33</v>
      </c>
      <c r="F10" s="5"/>
      <c r="G10" s="7" t="str">
        <f aca="false">IF(AND(ISNUMBER(D10),ISNUMBER(F10),D10&gt;0,F10&gt;0),D10*F10/1000,"")</f>
        <v/>
      </c>
      <c r="H10" s="5" t="s">
        <v>14</v>
      </c>
      <c r="I10" s="5" t="s">
        <v>15</v>
      </c>
      <c r="J10" s="6" t="s">
        <v>34</v>
      </c>
    </row>
    <row r="11" customFormat="false" ht="15" hidden="false" customHeight="true" outlineLevel="0" collapsed="false">
      <c r="A11" s="5" t="n">
        <v>9</v>
      </c>
      <c r="B11" s="5" t="s">
        <v>31</v>
      </c>
      <c r="C11" s="6" t="s">
        <v>35</v>
      </c>
      <c r="D11" s="5"/>
      <c r="E11" s="5" t="s">
        <v>36</v>
      </c>
      <c r="F11" s="5"/>
      <c r="G11" s="7" t="str">
        <f aca="false">IF(AND(ISNUMBER(D11),ISNUMBER(F11),D11&gt;0,F11&gt;0),D11*F11/1000,"")</f>
        <v/>
      </c>
      <c r="H11" s="5" t="s">
        <v>21</v>
      </c>
      <c r="I11" s="5" t="s">
        <v>15</v>
      </c>
      <c r="J11" s="6"/>
    </row>
    <row r="12" customFormat="false" ht="15" hidden="false" customHeight="true" outlineLevel="0" collapsed="false">
      <c r="A12" s="5" t="n">
        <v>10</v>
      </c>
      <c r="B12" s="5" t="s">
        <v>31</v>
      </c>
      <c r="C12" s="6" t="s">
        <v>37</v>
      </c>
      <c r="D12" s="5"/>
      <c r="E12" s="5" t="s">
        <v>25</v>
      </c>
      <c r="F12" s="5"/>
      <c r="G12" s="7" t="str">
        <f aca="false">IF(AND(ISNUMBER(D12),ISNUMBER(F12),D12&gt;0,F12&gt;0),D12*F12/1000,"")</f>
        <v/>
      </c>
      <c r="H12" s="5" t="s">
        <v>30</v>
      </c>
      <c r="I12" s="5" t="s">
        <v>15</v>
      </c>
      <c r="J12" s="6"/>
    </row>
    <row r="13" customFormat="false" ht="15" hidden="false" customHeight="true" outlineLevel="0" collapsed="false">
      <c r="A13" s="5" t="n">
        <v>11</v>
      </c>
      <c r="B13" s="5"/>
      <c r="C13" s="6"/>
      <c r="D13" s="5"/>
      <c r="E13" s="5"/>
      <c r="F13" s="5"/>
      <c r="G13" s="7"/>
      <c r="H13" s="5"/>
      <c r="I13" s="5"/>
      <c r="J13" s="6"/>
    </row>
    <row r="14" customFormat="false" ht="16.5" hidden="false" customHeight="true" outlineLevel="0" collapsed="false">
      <c r="A14" s="5" t="n">
        <v>12</v>
      </c>
      <c r="B14" s="5"/>
      <c r="C14" s="6"/>
      <c r="D14" s="5"/>
      <c r="E14" s="5"/>
      <c r="F14" s="5"/>
      <c r="G14" s="7"/>
      <c r="H14" s="5"/>
      <c r="I14" s="5"/>
      <c r="J14" s="6"/>
    </row>
    <row r="15" customFormat="false" ht="16.5" hidden="false" customHeight="true" outlineLevel="0" collapsed="false">
      <c r="A15" s="5" t="n">
        <v>13</v>
      </c>
      <c r="B15" s="5"/>
      <c r="C15" s="6"/>
      <c r="D15" s="5"/>
      <c r="E15" s="5"/>
      <c r="F15" s="5"/>
      <c r="G15" s="7"/>
      <c r="H15" s="5"/>
      <c r="I15" s="5"/>
      <c r="J15" s="6"/>
    </row>
    <row r="16" customFormat="false" ht="15" hidden="false" customHeight="true" outlineLevel="0" collapsed="false">
      <c r="A16" s="5" t="n">
        <v>14</v>
      </c>
      <c r="B16" s="5" t="s">
        <v>38</v>
      </c>
      <c r="C16" s="6" t="s">
        <v>39</v>
      </c>
      <c r="D16" s="5"/>
      <c r="E16" s="5" t="s">
        <v>28</v>
      </c>
      <c r="F16" s="5"/>
      <c r="G16" s="7" t="str">
        <f aca="false">IF(AND(ISNUMBER(D16),ISNUMBER(F16),D16&gt;0,F16&gt;0),D16*F16/1000,"")</f>
        <v/>
      </c>
      <c r="H16" s="5" t="s">
        <v>21</v>
      </c>
      <c r="I16" s="5" t="s">
        <v>15</v>
      </c>
      <c r="J16" s="6"/>
    </row>
    <row r="17" customFormat="false" ht="15" hidden="false" customHeight="true" outlineLevel="0" collapsed="false">
      <c r="A17" s="5" t="n">
        <v>15</v>
      </c>
      <c r="B17" s="5" t="s">
        <v>38</v>
      </c>
      <c r="C17" s="6" t="s">
        <v>40</v>
      </c>
      <c r="D17" s="5"/>
      <c r="E17" s="5" t="s">
        <v>41</v>
      </c>
      <c r="F17" s="5"/>
      <c r="G17" s="7" t="str">
        <f aca="false">IF(AND(ISNUMBER(D17),ISNUMBER(F17),D17&gt;0,F17&gt;0),D17*F17/1000,"")</f>
        <v/>
      </c>
      <c r="H17" s="5" t="s">
        <v>21</v>
      </c>
      <c r="I17" s="5" t="s">
        <v>15</v>
      </c>
      <c r="J17" s="6"/>
    </row>
    <row r="18" customFormat="false" ht="15" hidden="false" customHeight="true" outlineLevel="0" collapsed="false">
      <c r="A18" s="5" t="n">
        <v>16</v>
      </c>
      <c r="B18" s="5" t="s">
        <v>38</v>
      </c>
      <c r="C18" s="6" t="s">
        <v>42</v>
      </c>
      <c r="D18" s="5"/>
      <c r="E18" s="5" t="s">
        <v>28</v>
      </c>
      <c r="F18" s="5"/>
      <c r="G18" s="7" t="str">
        <f aca="false">IF(AND(ISNUMBER(D18),ISNUMBER(F18),D18&gt;0,F18&gt;0),D18*F18/1000,"")</f>
        <v/>
      </c>
      <c r="H18" s="5" t="s">
        <v>21</v>
      </c>
      <c r="I18" s="5" t="s">
        <v>15</v>
      </c>
      <c r="J18" s="6"/>
    </row>
    <row r="19" customFormat="false" ht="15" hidden="false" customHeight="true" outlineLevel="0" collapsed="false">
      <c r="A19" s="5" t="n">
        <v>17</v>
      </c>
      <c r="B19" s="5" t="s">
        <v>43</v>
      </c>
      <c r="C19" s="6"/>
      <c r="D19" s="5"/>
      <c r="E19" s="5"/>
      <c r="F19" s="5"/>
      <c r="G19" s="7" t="str">
        <f aca="false">IF(AND(ISNUMBER(D19),ISNUMBER(F19),D19&gt;0,F19&gt;0),D19*F19/1000,"")</f>
        <v/>
      </c>
      <c r="H19" s="5"/>
      <c r="I19" s="5" t="s">
        <v>15</v>
      </c>
      <c r="J19" s="6" t="s">
        <v>44</v>
      </c>
    </row>
    <row r="20" customFormat="false" ht="15" hidden="false" customHeight="true" outlineLevel="0" collapsed="false">
      <c r="A20" s="5" t="n">
        <v>18</v>
      </c>
      <c r="B20" s="5"/>
      <c r="C20" s="6"/>
      <c r="D20" s="5"/>
      <c r="E20" s="5"/>
      <c r="F20" s="5"/>
      <c r="G20" s="7" t="str">
        <f aca="false">IF(AND(ISNUMBER(D20),ISNUMBER(F20),D20&gt;0,F20&gt;0),D20*F20/1000,"")</f>
        <v/>
      </c>
      <c r="H20" s="5"/>
      <c r="I20" s="5"/>
      <c r="J20" s="6"/>
    </row>
    <row r="21" customFormat="false" ht="15" hidden="false" customHeight="true" outlineLevel="0" collapsed="false">
      <c r="A21" s="5" t="n">
        <v>19</v>
      </c>
      <c r="B21" s="5"/>
      <c r="C21" s="6"/>
      <c r="D21" s="5"/>
      <c r="E21" s="5"/>
      <c r="F21" s="5"/>
      <c r="G21" s="7" t="str">
        <f aca="false">IF(AND(ISNUMBER(D21),ISNUMBER(F21),D21&gt;0,F21&gt;0),D21*F21/1000,"")</f>
        <v/>
      </c>
      <c r="H21" s="5"/>
      <c r="I21" s="5"/>
      <c r="J21" s="6"/>
    </row>
    <row r="22" customFormat="false" ht="15" hidden="false" customHeight="true" outlineLevel="0" collapsed="false">
      <c r="A22" s="5" t="n">
        <v>20</v>
      </c>
      <c r="B22" s="5"/>
      <c r="C22" s="6"/>
      <c r="D22" s="5"/>
      <c r="E22" s="5"/>
      <c r="F22" s="5"/>
      <c r="G22" s="7" t="str">
        <f aca="false">IF(AND(ISNUMBER(D22),ISNUMBER(F22),D22&gt;0,F22&gt;0),D22*F22/1000,"")</f>
        <v/>
      </c>
      <c r="H22" s="5"/>
      <c r="I22" s="5"/>
      <c r="J22" s="6"/>
    </row>
    <row r="23" customFormat="false" ht="15" hidden="false" customHeight="true" outlineLevel="0" collapsed="false">
      <c r="A23" s="5" t="n">
        <v>21</v>
      </c>
      <c r="B23" s="5"/>
      <c r="C23" s="6"/>
      <c r="D23" s="5"/>
      <c r="E23" s="5"/>
      <c r="F23" s="5"/>
      <c r="G23" s="7" t="str">
        <f aca="false">IF(AND(ISNUMBER(D23),ISNUMBER(F23),D23&gt;0,F23&gt;0),D23*F23/1000,"")</f>
        <v/>
      </c>
      <c r="H23" s="5"/>
      <c r="I23" s="5"/>
      <c r="J23" s="6"/>
    </row>
    <row r="24" customFormat="false" ht="15" hidden="false" customHeight="true" outlineLevel="0" collapsed="false">
      <c r="A24" s="5" t="n">
        <v>22</v>
      </c>
      <c r="B24" s="5"/>
      <c r="C24" s="6"/>
      <c r="D24" s="5"/>
      <c r="E24" s="5"/>
      <c r="F24" s="5"/>
      <c r="G24" s="7" t="str">
        <f aca="false">IF(AND(ISNUMBER(D24),ISNUMBER(F24),D24&gt;0,F24&gt;0),D24*F24/1000,"")</f>
        <v/>
      </c>
      <c r="H24" s="5"/>
      <c r="I24" s="5"/>
      <c r="J24" s="6"/>
    </row>
    <row r="25" customFormat="false" ht="15" hidden="false" customHeight="true" outlineLevel="0" collapsed="false">
      <c r="A25" s="5" t="n">
        <v>23</v>
      </c>
      <c r="B25" s="5"/>
      <c r="C25" s="6"/>
      <c r="D25" s="5"/>
      <c r="E25" s="5"/>
      <c r="F25" s="5"/>
      <c r="G25" s="7" t="str">
        <f aca="false">IF(AND(ISNUMBER(D25),ISNUMBER(F25),D25&gt;0,F25&gt;0),D25*F25/1000,"")</f>
        <v/>
      </c>
      <c r="H25" s="5"/>
      <c r="I25" s="5"/>
      <c r="J25" s="6"/>
    </row>
    <row r="26" customFormat="false" ht="15" hidden="false" customHeight="true" outlineLevel="0" collapsed="false">
      <c r="A26" s="5" t="n">
        <v>24</v>
      </c>
      <c r="B26" s="5"/>
      <c r="C26" s="6"/>
      <c r="D26" s="5"/>
      <c r="E26" s="5"/>
      <c r="F26" s="5"/>
      <c r="G26" s="7" t="str">
        <f aca="false">IF(AND(ISNUMBER(D26),ISNUMBER(F26),D26&gt;0,F26&gt;0),D26*F26/1000,"")</f>
        <v/>
      </c>
      <c r="H26" s="5"/>
      <c r="I26" s="5"/>
      <c r="J26" s="6"/>
    </row>
    <row r="27" customFormat="false" ht="15" hidden="false" customHeight="true" outlineLevel="0" collapsed="false">
      <c r="A27" s="5" t="n">
        <v>25</v>
      </c>
      <c r="B27" s="5"/>
      <c r="C27" s="6"/>
      <c r="D27" s="5"/>
      <c r="E27" s="5"/>
      <c r="F27" s="5"/>
      <c r="G27" s="7" t="str">
        <f aca="false">IF(AND(ISNUMBER(D27),ISNUMBER(F27),D27&gt;0,F27&gt;0),D27*F27/1000,"")</f>
        <v/>
      </c>
      <c r="H27" s="5"/>
      <c r="I27" s="5"/>
      <c r="J27" s="6"/>
    </row>
    <row r="28" customFormat="false" ht="15" hidden="false" customHeight="true" outlineLevel="0" collapsed="false">
      <c r="A28" s="5" t="n">
        <v>26</v>
      </c>
      <c r="B28" s="5"/>
      <c r="C28" s="6"/>
      <c r="D28" s="5"/>
      <c r="E28" s="5"/>
      <c r="F28" s="5"/>
      <c r="G28" s="7" t="str">
        <f aca="false">IF(AND(ISNUMBER(D28),ISNUMBER(F28),D28&gt;0,F28&gt;0),D28*F28/1000,"")</f>
        <v/>
      </c>
      <c r="H28" s="5"/>
      <c r="I28" s="5"/>
      <c r="J28" s="6"/>
    </row>
    <row r="29" customFormat="false" ht="15" hidden="false" customHeight="true" outlineLevel="0" collapsed="false">
      <c r="A29" s="5" t="n">
        <v>27</v>
      </c>
      <c r="B29" s="5"/>
      <c r="C29" s="6"/>
      <c r="D29" s="5"/>
      <c r="E29" s="5"/>
      <c r="F29" s="5"/>
      <c r="G29" s="7" t="str">
        <f aca="false">IF(AND(ISNUMBER(D29),ISNUMBER(F29),D29&gt;0,F29&gt;0),D29*F29/1000,"")</f>
        <v/>
      </c>
      <c r="H29" s="5"/>
      <c r="I29" s="5"/>
      <c r="J29" s="6"/>
    </row>
    <row r="30" customFormat="false" ht="15" hidden="false" customHeight="true" outlineLevel="0" collapsed="false">
      <c r="A30" s="5" t="n">
        <v>28</v>
      </c>
      <c r="B30" s="5"/>
      <c r="C30" s="6"/>
      <c r="D30" s="5"/>
      <c r="E30" s="5"/>
      <c r="F30" s="5"/>
      <c r="G30" s="7" t="str">
        <f aca="false">IF(AND(ISNUMBER(D30),ISNUMBER(F30),D30&gt;0,F30&gt;0),D30*F30/1000,"")</f>
        <v/>
      </c>
      <c r="H30" s="5"/>
      <c r="I30" s="5"/>
      <c r="J30" s="6"/>
    </row>
    <row r="31" customFormat="false" ht="15" hidden="false" customHeight="true" outlineLevel="0" collapsed="false">
      <c r="A31" s="5" t="n">
        <v>29</v>
      </c>
      <c r="B31" s="5"/>
      <c r="C31" s="6"/>
      <c r="D31" s="5"/>
      <c r="E31" s="5"/>
      <c r="F31" s="5"/>
      <c r="G31" s="7" t="str">
        <f aca="false">IF(AND(ISNUMBER(D31),ISNUMBER(F31),D31&gt;0,F31&gt;0),D31*F31/1000,"")</f>
        <v/>
      </c>
      <c r="H31" s="5"/>
      <c r="I31" s="5"/>
      <c r="J31" s="6"/>
    </row>
    <row r="32" customFormat="false" ht="15" hidden="false" customHeight="true" outlineLevel="0" collapsed="false">
      <c r="A32" s="5" t="n">
        <v>30</v>
      </c>
      <c r="B32" s="5"/>
      <c r="C32" s="6"/>
      <c r="D32" s="5"/>
      <c r="E32" s="5"/>
      <c r="F32" s="5"/>
      <c r="G32" s="7" t="str">
        <f aca="false">IF(AND(ISNUMBER(D32),ISNUMBER(F32),D32&gt;0,F32&gt;0),D32*F32/1000,"")</f>
        <v/>
      </c>
      <c r="H32" s="5"/>
      <c r="I32" s="5"/>
      <c r="J32" s="6"/>
    </row>
    <row r="33" customFormat="false" ht="15" hidden="false" customHeight="true" outlineLevel="0" collapsed="false">
      <c r="A33" s="5" t="n">
        <v>31</v>
      </c>
      <c r="B33" s="5"/>
      <c r="C33" s="6"/>
      <c r="D33" s="5"/>
      <c r="E33" s="5"/>
      <c r="F33" s="5"/>
      <c r="G33" s="7" t="str">
        <f aca="false">IF(AND(ISNUMBER(D33),ISNUMBER(F33),D33&gt;0,F33&gt;0),D33*F33/1000,"")</f>
        <v/>
      </c>
      <c r="H33" s="5"/>
      <c r="I33" s="5"/>
      <c r="J33" s="6"/>
    </row>
    <row r="34" customFormat="false" ht="15" hidden="false" customHeight="true" outlineLevel="0" collapsed="false">
      <c r="A34" s="5" t="n">
        <v>32</v>
      </c>
      <c r="B34" s="5"/>
      <c r="C34" s="6"/>
      <c r="D34" s="5"/>
      <c r="E34" s="5"/>
      <c r="F34" s="5"/>
      <c r="G34" s="7" t="str">
        <f aca="false">IF(AND(ISNUMBER(D34),ISNUMBER(F34),D34&gt;0,F34&gt;0),D34*F34/1000,"")</f>
        <v/>
      </c>
      <c r="H34" s="5"/>
      <c r="I34" s="5"/>
      <c r="J34" s="6"/>
    </row>
    <row r="35" customFormat="false" ht="15" hidden="false" customHeight="true" outlineLevel="0" collapsed="false">
      <c r="A35" s="5" t="n">
        <v>33</v>
      </c>
      <c r="B35" s="5"/>
      <c r="C35" s="6"/>
      <c r="D35" s="5"/>
      <c r="E35" s="5"/>
      <c r="F35" s="5"/>
      <c r="G35" s="7" t="str">
        <f aca="false">IF(AND(ISNUMBER(D35),ISNUMBER(F35),D35&gt;0,F35&gt;0),D35*F35/1000,"")</f>
        <v/>
      </c>
      <c r="H35" s="5"/>
      <c r="I35" s="5"/>
      <c r="J35" s="6"/>
    </row>
    <row r="36" customFormat="false" ht="15" hidden="false" customHeight="true" outlineLevel="0" collapsed="false">
      <c r="A36" s="5" t="n">
        <v>34</v>
      </c>
      <c r="B36" s="5"/>
      <c r="C36" s="6"/>
      <c r="D36" s="5"/>
      <c r="E36" s="5"/>
      <c r="F36" s="5"/>
      <c r="G36" s="7" t="str">
        <f aca="false">IF(AND(ISNUMBER(D36),ISNUMBER(F36),D36&gt;0,F36&gt;0),D36*F36/1000,"")</f>
        <v/>
      </c>
      <c r="H36" s="5"/>
      <c r="I36" s="5"/>
      <c r="J36" s="6"/>
    </row>
    <row r="37" customFormat="false" ht="15" hidden="false" customHeight="true" outlineLevel="0" collapsed="false">
      <c r="A37" s="5" t="n">
        <v>35</v>
      </c>
      <c r="B37" s="5"/>
      <c r="C37" s="6"/>
      <c r="D37" s="5"/>
      <c r="E37" s="5"/>
      <c r="F37" s="5"/>
      <c r="G37" s="7" t="str">
        <f aca="false">IF(AND(ISNUMBER(D37),ISNUMBER(F37),D37&gt;0,F37&gt;0),D37*F37/1000,"")</f>
        <v/>
      </c>
      <c r="H37" s="5"/>
      <c r="I37" s="5"/>
      <c r="J37" s="6"/>
    </row>
    <row r="38" customFormat="false" ht="15" hidden="false" customHeight="true" outlineLevel="0" collapsed="false">
      <c r="A38" s="5" t="n">
        <v>36</v>
      </c>
      <c r="B38" s="5"/>
      <c r="C38" s="6"/>
      <c r="D38" s="5"/>
      <c r="E38" s="5"/>
      <c r="F38" s="5"/>
      <c r="G38" s="7" t="str">
        <f aca="false">IF(AND(ISNUMBER(D38),ISNUMBER(F38),D38&gt;0,F38&gt;0),D38*F38/1000,"")</f>
        <v/>
      </c>
      <c r="H38" s="5"/>
      <c r="I38" s="5"/>
      <c r="J38" s="6"/>
    </row>
    <row r="39" customFormat="false" ht="15" hidden="false" customHeight="true" outlineLevel="0" collapsed="false">
      <c r="A39" s="5" t="n">
        <v>37</v>
      </c>
      <c r="B39" s="5"/>
      <c r="C39" s="6"/>
      <c r="D39" s="5"/>
      <c r="E39" s="5"/>
      <c r="F39" s="5"/>
      <c r="G39" s="7" t="str">
        <f aca="false">IF(AND(ISNUMBER(D39),ISNUMBER(F39),D39&gt;0,F39&gt;0),D39*F39/1000,"")</f>
        <v/>
      </c>
      <c r="H39" s="5"/>
      <c r="I39" s="5"/>
      <c r="J39" s="6"/>
    </row>
    <row r="40" customFormat="false" ht="15" hidden="false" customHeight="true" outlineLevel="0" collapsed="false">
      <c r="A40" s="5" t="n">
        <v>38</v>
      </c>
      <c r="B40" s="5"/>
      <c r="C40" s="6"/>
      <c r="D40" s="5"/>
      <c r="E40" s="5"/>
      <c r="F40" s="5"/>
      <c r="G40" s="7" t="str">
        <f aca="false">IF(AND(ISNUMBER(D40),ISNUMBER(F40),D40&gt;0,F40&gt;0),D40*F40/1000,"")</f>
        <v/>
      </c>
      <c r="H40" s="5"/>
      <c r="I40" s="5"/>
      <c r="J40" s="6"/>
    </row>
    <row r="41" customFormat="false" ht="15" hidden="false" customHeight="true" outlineLevel="0" collapsed="false">
      <c r="A41" s="5" t="n">
        <v>39</v>
      </c>
      <c r="B41" s="5"/>
      <c r="C41" s="6"/>
      <c r="D41" s="5"/>
      <c r="E41" s="5"/>
      <c r="F41" s="5"/>
      <c r="G41" s="7" t="str">
        <f aca="false">IF(AND(ISNUMBER(D41),ISNUMBER(F41),D41&gt;0,F41&gt;0),D41*F41/1000,"")</f>
        <v/>
      </c>
      <c r="H41" s="5"/>
      <c r="I41" s="5"/>
      <c r="J41" s="6"/>
    </row>
    <row r="42" customFormat="false" ht="15" hidden="false" customHeight="true" outlineLevel="0" collapsed="false">
      <c r="A42" s="5" t="n">
        <v>40</v>
      </c>
      <c r="B42" s="5"/>
      <c r="C42" s="6"/>
      <c r="D42" s="5"/>
      <c r="E42" s="5"/>
      <c r="F42" s="5"/>
      <c r="G42" s="7" t="str">
        <f aca="false">IF(AND(ISNUMBER(D42),ISNUMBER(F42),D42&gt;0,F42&gt;0),D42*F42/1000,"")</f>
        <v/>
      </c>
      <c r="H42" s="5"/>
      <c r="I42" s="5"/>
      <c r="J42" s="6"/>
    </row>
    <row r="43" customFormat="false" ht="15" hidden="false" customHeight="true" outlineLevel="0" collapsed="false">
      <c r="A43" s="5" t="n">
        <v>41</v>
      </c>
      <c r="B43" s="5"/>
      <c r="C43" s="6"/>
      <c r="D43" s="5"/>
      <c r="E43" s="5"/>
      <c r="F43" s="5"/>
      <c r="G43" s="7" t="str">
        <f aca="false">IF(AND(ISNUMBER(D43),ISNUMBER(F43),D43&gt;0,F43&gt;0),D43*F43/1000,"")</f>
        <v/>
      </c>
      <c r="H43" s="5"/>
      <c r="I43" s="5"/>
      <c r="J43" s="6"/>
    </row>
    <row r="44" customFormat="false" ht="15" hidden="false" customHeight="true" outlineLevel="0" collapsed="false">
      <c r="A44" s="5" t="n">
        <v>42</v>
      </c>
      <c r="B44" s="5"/>
      <c r="C44" s="6"/>
      <c r="D44" s="5"/>
      <c r="E44" s="5"/>
      <c r="F44" s="5"/>
      <c r="G44" s="7" t="str">
        <f aca="false">IF(AND(ISNUMBER(D44),ISNUMBER(F44),D44&gt;0,F44&gt;0),D44*F44/1000,"")</f>
        <v/>
      </c>
      <c r="H44" s="5"/>
      <c r="I44" s="5"/>
      <c r="J44" s="6"/>
    </row>
    <row r="45" customFormat="false" ht="15" hidden="false" customHeight="true" outlineLevel="0" collapsed="false">
      <c r="A45" s="5" t="n">
        <v>43</v>
      </c>
      <c r="B45" s="5"/>
      <c r="C45" s="6"/>
      <c r="D45" s="5"/>
      <c r="E45" s="5"/>
      <c r="F45" s="5"/>
      <c r="G45" s="7" t="str">
        <f aca="false">IF(AND(ISNUMBER(D45),ISNUMBER(F45),D45&gt;0,F45&gt;0),D45*F45/1000,"")</f>
        <v/>
      </c>
      <c r="H45" s="5"/>
      <c r="I45" s="5"/>
      <c r="J45" s="6"/>
    </row>
    <row r="46" customFormat="false" ht="15" hidden="false" customHeight="true" outlineLevel="0" collapsed="false">
      <c r="A46" s="5" t="n">
        <v>44</v>
      </c>
      <c r="B46" s="5"/>
      <c r="C46" s="6"/>
      <c r="D46" s="5"/>
      <c r="E46" s="5"/>
      <c r="F46" s="5"/>
      <c r="G46" s="7" t="str">
        <f aca="false">IF(AND(ISNUMBER(D46),ISNUMBER(F46),D46&gt;0,F46&gt;0),D46*F46/1000,"")</f>
        <v/>
      </c>
      <c r="H46" s="5"/>
      <c r="I46" s="5"/>
      <c r="J46" s="6"/>
    </row>
    <row r="47" customFormat="false" ht="15" hidden="false" customHeight="true" outlineLevel="0" collapsed="false">
      <c r="A47" s="5" t="n">
        <v>45</v>
      </c>
      <c r="B47" s="5"/>
      <c r="C47" s="6"/>
      <c r="D47" s="5"/>
      <c r="E47" s="5"/>
      <c r="F47" s="5"/>
      <c r="G47" s="7" t="str">
        <f aca="false">IF(AND(ISNUMBER(D47),ISNUMBER(F47),D47&gt;0,F47&gt;0),D47*F47/1000,"")</f>
        <v/>
      </c>
      <c r="H47" s="5"/>
      <c r="I47" s="5"/>
      <c r="J47" s="6"/>
    </row>
    <row r="48" customFormat="false" ht="15" hidden="false" customHeight="true" outlineLevel="0" collapsed="false">
      <c r="A48" s="5" t="n">
        <v>46</v>
      </c>
      <c r="B48" s="5"/>
      <c r="C48" s="6"/>
      <c r="D48" s="5"/>
      <c r="E48" s="5"/>
      <c r="F48" s="5"/>
      <c r="G48" s="7" t="str">
        <f aca="false">IF(AND(ISNUMBER(D48),ISNUMBER(F48),D48&gt;0,F48&gt;0),D48*F48/1000,"")</f>
        <v/>
      </c>
      <c r="H48" s="5"/>
      <c r="I48" s="5"/>
      <c r="J48" s="6"/>
    </row>
    <row r="49" customFormat="false" ht="15" hidden="false" customHeight="true" outlineLevel="0" collapsed="false">
      <c r="A49" s="5" t="n">
        <v>47</v>
      </c>
      <c r="B49" s="5"/>
      <c r="C49" s="6"/>
      <c r="D49" s="5"/>
      <c r="E49" s="5"/>
      <c r="F49" s="5"/>
      <c r="G49" s="7" t="str">
        <f aca="false">IF(AND(ISNUMBER(D49),ISNUMBER(F49),D49&gt;0,F49&gt;0),D49*F49/1000,"")</f>
        <v/>
      </c>
      <c r="H49" s="5"/>
      <c r="I49" s="5"/>
      <c r="J49" s="6"/>
    </row>
    <row r="50" customFormat="false" ht="15" hidden="false" customHeight="true" outlineLevel="0" collapsed="false">
      <c r="A50" s="5" t="n">
        <v>48</v>
      </c>
      <c r="B50" s="5"/>
      <c r="C50" s="6"/>
      <c r="D50" s="5"/>
      <c r="E50" s="5"/>
      <c r="F50" s="5"/>
      <c r="G50" s="7" t="str">
        <f aca="false">IF(AND(ISNUMBER(D50),ISNUMBER(F50),D50&gt;0,F50&gt;0),D50*F50/1000,"")</f>
        <v/>
      </c>
      <c r="H50" s="5"/>
      <c r="I50" s="5"/>
      <c r="J50" s="6"/>
    </row>
    <row r="51" customFormat="false" ht="15" hidden="false" customHeight="true" outlineLevel="0" collapsed="false">
      <c r="A51" s="5" t="n">
        <v>49</v>
      </c>
      <c r="B51" s="5"/>
      <c r="C51" s="6"/>
      <c r="D51" s="5"/>
      <c r="E51" s="5"/>
      <c r="F51" s="5"/>
      <c r="G51" s="7" t="str">
        <f aca="false">IF(AND(ISNUMBER(D51),ISNUMBER(F51),D51&gt;0,F51&gt;0),D51*F51/1000,"")</f>
        <v/>
      </c>
      <c r="H51" s="5"/>
      <c r="I51" s="5"/>
      <c r="J51" s="6"/>
    </row>
    <row r="52" customFormat="false" ht="15" hidden="false" customHeight="true" outlineLevel="0" collapsed="false">
      <c r="A52" s="5" t="n">
        <v>50</v>
      </c>
      <c r="B52" s="5"/>
      <c r="C52" s="6"/>
      <c r="D52" s="5"/>
      <c r="E52" s="5"/>
      <c r="F52" s="5"/>
      <c r="G52" s="7" t="str">
        <f aca="false">IF(AND(ISNUMBER(D52),ISNUMBER(F52),D52&gt;0,F52&gt;0),D52*F52/1000,"")</f>
        <v/>
      </c>
      <c r="H52" s="5"/>
      <c r="I52" s="5"/>
      <c r="J52" s="6"/>
    </row>
    <row r="53" customFormat="false" ht="15" hidden="false" customHeight="true" outlineLevel="0" collapsed="false">
      <c r="A53" s="5" t="n">
        <v>51</v>
      </c>
      <c r="B53" s="5"/>
      <c r="C53" s="6"/>
      <c r="D53" s="5"/>
      <c r="E53" s="5"/>
      <c r="F53" s="5"/>
      <c r="G53" s="7" t="str">
        <f aca="false">IF(AND(ISNUMBER(D53),ISNUMBER(F53),D53&gt;0,F53&gt;0),D53*F53/1000,"")</f>
        <v/>
      </c>
      <c r="H53" s="5"/>
      <c r="I53" s="5"/>
      <c r="J53" s="6"/>
    </row>
    <row r="54" customFormat="false" ht="15" hidden="false" customHeight="true" outlineLevel="0" collapsed="false">
      <c r="A54" s="5" t="n">
        <v>52</v>
      </c>
      <c r="B54" s="5"/>
      <c r="C54" s="6"/>
      <c r="D54" s="5"/>
      <c r="E54" s="5"/>
      <c r="F54" s="5"/>
      <c r="G54" s="7" t="str">
        <f aca="false">IF(AND(ISNUMBER(D54),ISNUMBER(F54),D54&gt;0,F54&gt;0),D54*F54/1000,"")</f>
        <v/>
      </c>
      <c r="H54" s="5"/>
      <c r="I54" s="5"/>
      <c r="J54" s="6"/>
    </row>
    <row r="55" customFormat="false" ht="15" hidden="false" customHeight="true" outlineLevel="0" collapsed="false">
      <c r="A55" s="5" t="n">
        <v>53</v>
      </c>
      <c r="B55" s="5"/>
      <c r="C55" s="6"/>
      <c r="D55" s="5"/>
      <c r="E55" s="5"/>
      <c r="F55" s="5"/>
      <c r="G55" s="7" t="str">
        <f aca="false">IF(AND(ISNUMBER(D55),ISNUMBER(F55),D55&gt;0,F55&gt;0),D55*F55/1000,"")</f>
        <v/>
      </c>
      <c r="H55" s="5"/>
      <c r="I55" s="5"/>
      <c r="J55" s="6"/>
    </row>
    <row r="56" customFormat="false" ht="15" hidden="false" customHeight="true" outlineLevel="0" collapsed="false">
      <c r="A56" s="5" t="n">
        <v>54</v>
      </c>
      <c r="B56" s="5"/>
      <c r="C56" s="6"/>
      <c r="D56" s="5"/>
      <c r="E56" s="5"/>
      <c r="F56" s="5"/>
      <c r="G56" s="7" t="str">
        <f aca="false">IF(AND(ISNUMBER(D56),ISNUMBER(F56),D56&gt;0,F56&gt;0),D56*F56/1000,"")</f>
        <v/>
      </c>
      <c r="H56" s="5"/>
      <c r="I56" s="5"/>
      <c r="J56" s="6"/>
    </row>
    <row r="57" customFormat="false" ht="15" hidden="false" customHeight="true" outlineLevel="0" collapsed="false">
      <c r="A57" s="5" t="n">
        <v>55</v>
      </c>
      <c r="B57" s="5"/>
      <c r="C57" s="6"/>
      <c r="D57" s="5"/>
      <c r="E57" s="5"/>
      <c r="F57" s="5"/>
      <c r="G57" s="7" t="str">
        <f aca="false">IF(AND(ISNUMBER(D57),ISNUMBER(F57),D57&gt;0,F57&gt;0),D57*F57/1000,"")</f>
        <v/>
      </c>
      <c r="H57" s="5"/>
      <c r="I57" s="5"/>
      <c r="J57" s="6"/>
    </row>
    <row r="58" customFormat="false" ht="15" hidden="false" customHeight="true" outlineLevel="0" collapsed="false">
      <c r="A58" s="5" t="n">
        <v>56</v>
      </c>
      <c r="B58" s="5"/>
      <c r="C58" s="6"/>
      <c r="D58" s="5"/>
      <c r="E58" s="5"/>
      <c r="F58" s="5"/>
      <c r="G58" s="7" t="str">
        <f aca="false">IF(AND(ISNUMBER(D58),ISNUMBER(F58),D58&gt;0,F58&gt;0),D58*F58/1000,"")</f>
        <v/>
      </c>
      <c r="H58" s="5"/>
      <c r="I58" s="5"/>
      <c r="J58" s="6"/>
    </row>
    <row r="59" customFormat="false" ht="15" hidden="false" customHeight="true" outlineLevel="0" collapsed="false">
      <c r="A59" s="5" t="n">
        <v>57</v>
      </c>
      <c r="B59" s="5"/>
      <c r="C59" s="6"/>
      <c r="D59" s="5"/>
      <c r="E59" s="5"/>
      <c r="F59" s="5"/>
      <c r="G59" s="7" t="str">
        <f aca="false">IF(AND(ISNUMBER(D59),ISNUMBER(F59),D59&gt;0,F59&gt;0),D59*F59/1000,"")</f>
        <v/>
      </c>
      <c r="H59" s="5"/>
      <c r="I59" s="5"/>
      <c r="J59" s="6"/>
    </row>
    <row r="60" customFormat="false" ht="15" hidden="false" customHeight="true" outlineLevel="0" collapsed="false">
      <c r="A60" s="5" t="n">
        <v>58</v>
      </c>
      <c r="B60" s="5"/>
      <c r="C60" s="6"/>
      <c r="D60" s="5"/>
      <c r="E60" s="5"/>
      <c r="F60" s="5"/>
      <c r="G60" s="7" t="str">
        <f aca="false">IF(AND(ISNUMBER(D60),ISNUMBER(F60),D60&gt;0,F60&gt;0),D60*F60/1000,"")</f>
        <v/>
      </c>
      <c r="H60" s="5"/>
      <c r="I60" s="5"/>
      <c r="J60" s="6"/>
    </row>
    <row r="61" customFormat="false" ht="15" hidden="false" customHeight="true" outlineLevel="0" collapsed="false">
      <c r="A61" s="5" t="n">
        <v>59</v>
      </c>
      <c r="B61" s="5"/>
      <c r="C61" s="6"/>
      <c r="D61" s="5"/>
      <c r="E61" s="5"/>
      <c r="F61" s="5"/>
      <c r="G61" s="7" t="str">
        <f aca="false">IF(AND(ISNUMBER(D61),ISNUMBER(F61),D61&gt;0,F61&gt;0),D61*F61/1000,"")</f>
        <v/>
      </c>
      <c r="H61" s="5"/>
      <c r="I61" s="5"/>
      <c r="J61" s="6"/>
    </row>
    <row r="62" customFormat="false" ht="15" hidden="false" customHeight="true" outlineLevel="0" collapsed="false">
      <c r="A62" s="5" t="n">
        <v>60</v>
      </c>
      <c r="B62" s="5"/>
      <c r="C62" s="6"/>
      <c r="D62" s="5"/>
      <c r="E62" s="5"/>
      <c r="F62" s="5"/>
      <c r="G62" s="7" t="str">
        <f aca="false">IF(AND(ISNUMBER(D62),ISNUMBER(F62),D62&gt;0,F62&gt;0),D62*F62/1000,"")</f>
        <v/>
      </c>
      <c r="H62" s="5"/>
      <c r="I62" s="5"/>
      <c r="J62" s="6"/>
    </row>
    <row r="63" customFormat="false" ht="15" hidden="false" customHeight="true" outlineLevel="0" collapsed="false">
      <c r="A63" s="5" t="n">
        <v>61</v>
      </c>
      <c r="B63" s="5"/>
      <c r="C63" s="6"/>
      <c r="D63" s="5"/>
      <c r="E63" s="5"/>
      <c r="F63" s="5"/>
      <c r="G63" s="7" t="str">
        <f aca="false">IF(AND(ISNUMBER(D63),ISNUMBER(F63),D63&gt;0,F63&gt;0),D63*F63/1000,"")</f>
        <v/>
      </c>
      <c r="H63" s="5"/>
      <c r="I63" s="5"/>
      <c r="J63" s="6"/>
    </row>
    <row r="64" customFormat="false" ht="15" hidden="false" customHeight="true" outlineLevel="0" collapsed="false">
      <c r="A64" s="5" t="n">
        <v>62</v>
      </c>
      <c r="B64" s="5"/>
      <c r="C64" s="6"/>
      <c r="D64" s="5"/>
      <c r="E64" s="5"/>
      <c r="F64" s="5"/>
      <c r="G64" s="7" t="str">
        <f aca="false">IF(AND(ISNUMBER(D64),ISNUMBER(F64),D64&gt;0,F64&gt;0),D64*F64/1000,"")</f>
        <v/>
      </c>
      <c r="H64" s="5"/>
      <c r="I64" s="5"/>
      <c r="J64" s="6"/>
    </row>
    <row r="65" customFormat="false" ht="15" hidden="false" customHeight="true" outlineLevel="0" collapsed="false">
      <c r="A65" s="5" t="n">
        <v>63</v>
      </c>
      <c r="B65" s="5"/>
      <c r="C65" s="6"/>
      <c r="D65" s="5"/>
      <c r="E65" s="5"/>
      <c r="F65" s="5"/>
      <c r="G65" s="7" t="str">
        <f aca="false">IF(AND(ISNUMBER(D65),ISNUMBER(F65),D65&gt;0,F65&gt;0),D65*F65/1000,"")</f>
        <v/>
      </c>
      <c r="H65" s="5"/>
      <c r="I65" s="5"/>
      <c r="J65" s="6"/>
    </row>
    <row r="66" customFormat="false" ht="15" hidden="false" customHeight="true" outlineLevel="0" collapsed="false">
      <c r="A66" s="5" t="n">
        <v>64</v>
      </c>
      <c r="B66" s="5"/>
      <c r="C66" s="6"/>
      <c r="D66" s="5"/>
      <c r="E66" s="5"/>
      <c r="F66" s="5"/>
      <c r="G66" s="7" t="str">
        <f aca="false">IF(AND(ISNUMBER(D66),ISNUMBER(F66),D66&gt;0,F66&gt;0),D66*F66/1000,"")</f>
        <v/>
      </c>
      <c r="H66" s="5"/>
      <c r="I66" s="5"/>
      <c r="J66" s="6"/>
    </row>
    <row r="67" customFormat="false" ht="15" hidden="false" customHeight="true" outlineLevel="0" collapsed="false">
      <c r="A67" s="5" t="n">
        <v>65</v>
      </c>
      <c r="B67" s="5"/>
      <c r="C67" s="6"/>
      <c r="D67" s="5"/>
      <c r="E67" s="5"/>
      <c r="F67" s="5"/>
      <c r="G67" s="7" t="str">
        <f aca="false">IF(AND(ISNUMBER(D67),ISNUMBER(F67),D67&gt;0,F67&gt;0),D67*F67/1000,"")</f>
        <v/>
      </c>
      <c r="H67" s="5"/>
      <c r="I67" s="5"/>
      <c r="J67" s="6"/>
    </row>
    <row r="68" customFormat="false" ht="15" hidden="false" customHeight="true" outlineLevel="0" collapsed="false">
      <c r="A68" s="5" t="n">
        <v>66</v>
      </c>
      <c r="B68" s="5"/>
      <c r="C68" s="6"/>
      <c r="D68" s="5"/>
      <c r="E68" s="5"/>
      <c r="F68" s="5"/>
      <c r="G68" s="7" t="str">
        <f aca="false">IF(AND(ISNUMBER(D68),ISNUMBER(F68),D68&gt;0,F68&gt;0),D68*F68/1000,"")</f>
        <v/>
      </c>
      <c r="H68" s="5"/>
      <c r="I68" s="5"/>
      <c r="J68" s="6"/>
    </row>
    <row r="69" customFormat="false" ht="15" hidden="false" customHeight="true" outlineLevel="0" collapsed="false">
      <c r="A69" s="5" t="n">
        <v>67</v>
      </c>
      <c r="B69" s="5"/>
      <c r="C69" s="6"/>
      <c r="D69" s="5"/>
      <c r="E69" s="5"/>
      <c r="F69" s="5"/>
      <c r="G69" s="7" t="str">
        <f aca="false">IF(AND(ISNUMBER(D69),ISNUMBER(F69),D69&gt;0,F69&gt;0),D69*F69/1000,"")</f>
        <v/>
      </c>
      <c r="H69" s="5"/>
      <c r="I69" s="5"/>
      <c r="J69" s="6"/>
    </row>
    <row r="70" customFormat="false" ht="15" hidden="false" customHeight="true" outlineLevel="0" collapsed="false">
      <c r="A70" s="5" t="n">
        <v>68</v>
      </c>
      <c r="B70" s="5"/>
      <c r="C70" s="6"/>
      <c r="D70" s="5"/>
      <c r="E70" s="5"/>
      <c r="F70" s="5"/>
      <c r="G70" s="7" t="str">
        <f aca="false">IF(AND(ISNUMBER(D70),ISNUMBER(F70),D70&gt;0,F70&gt;0),D70*F70/1000,"")</f>
        <v/>
      </c>
      <c r="H70" s="5"/>
      <c r="I70" s="5"/>
      <c r="J70" s="6"/>
    </row>
    <row r="71" customFormat="false" ht="15" hidden="false" customHeight="true" outlineLevel="0" collapsed="false">
      <c r="A71" s="5" t="n">
        <v>69</v>
      </c>
      <c r="B71" s="5"/>
      <c r="C71" s="6"/>
      <c r="D71" s="5"/>
      <c r="E71" s="5"/>
      <c r="F71" s="5"/>
      <c r="G71" s="7" t="str">
        <f aca="false">IF(AND(ISNUMBER(D71),ISNUMBER(F71),D71&gt;0,F71&gt;0),D71*F71/1000,"")</f>
        <v/>
      </c>
      <c r="H71" s="5"/>
      <c r="I71" s="5"/>
      <c r="J71" s="6"/>
    </row>
    <row r="72" customFormat="false" ht="15" hidden="false" customHeight="true" outlineLevel="0" collapsed="false">
      <c r="A72" s="5" t="n">
        <v>70</v>
      </c>
      <c r="B72" s="5"/>
      <c r="C72" s="6"/>
      <c r="D72" s="5"/>
      <c r="E72" s="5"/>
      <c r="F72" s="5"/>
      <c r="G72" s="7" t="str">
        <f aca="false">IF(AND(ISNUMBER(D72),ISNUMBER(F72),D72&gt;0,F72&gt;0),D72*F72/1000,"")</f>
        <v/>
      </c>
      <c r="H72" s="5"/>
      <c r="I72" s="5"/>
      <c r="J72" s="6"/>
    </row>
    <row r="73" customFormat="false" ht="15" hidden="false" customHeight="true" outlineLevel="0" collapsed="false">
      <c r="A73" s="5" t="n">
        <v>71</v>
      </c>
      <c r="B73" s="5"/>
      <c r="C73" s="6"/>
      <c r="D73" s="5"/>
      <c r="E73" s="5"/>
      <c r="F73" s="5"/>
      <c r="G73" s="7" t="str">
        <f aca="false">IF(AND(ISNUMBER(D73),ISNUMBER(F73),D73&gt;0,F73&gt;0),D73*F73/1000,"")</f>
        <v/>
      </c>
      <c r="H73" s="5"/>
      <c r="I73" s="5"/>
      <c r="J73" s="6"/>
    </row>
    <row r="74" customFormat="false" ht="15" hidden="false" customHeight="true" outlineLevel="0" collapsed="false">
      <c r="A74" s="5" t="n">
        <v>72</v>
      </c>
      <c r="B74" s="5"/>
      <c r="C74" s="6"/>
      <c r="D74" s="5"/>
      <c r="E74" s="5"/>
      <c r="F74" s="5"/>
      <c r="G74" s="7" t="str">
        <f aca="false">IF(AND(ISNUMBER(D74),ISNUMBER(F74),D74&gt;0,F74&gt;0),D74*F74/1000,"")</f>
        <v/>
      </c>
      <c r="H74" s="5"/>
      <c r="I74" s="5"/>
      <c r="J74" s="6"/>
    </row>
    <row r="75" customFormat="false" ht="15" hidden="false" customHeight="true" outlineLevel="0" collapsed="false">
      <c r="A75" s="5" t="n">
        <v>73</v>
      </c>
      <c r="B75" s="5"/>
      <c r="C75" s="6"/>
      <c r="D75" s="5"/>
      <c r="E75" s="5"/>
      <c r="F75" s="5"/>
      <c r="G75" s="7" t="str">
        <f aca="false">IF(AND(ISNUMBER(D75),ISNUMBER(F75),D75&gt;0,F75&gt;0),D75*F75/1000,"")</f>
        <v/>
      </c>
      <c r="H75" s="5"/>
      <c r="I75" s="5"/>
      <c r="J75" s="6"/>
    </row>
    <row r="76" customFormat="false" ht="15" hidden="false" customHeight="true" outlineLevel="0" collapsed="false">
      <c r="A76" s="5" t="n">
        <v>74</v>
      </c>
      <c r="B76" s="5"/>
      <c r="C76" s="6"/>
      <c r="D76" s="5"/>
      <c r="E76" s="5"/>
      <c r="F76" s="5"/>
      <c r="G76" s="7" t="str">
        <f aca="false">IF(AND(ISNUMBER(D76),ISNUMBER(F76),D76&gt;0,F76&gt;0),D76*F76/1000,"")</f>
        <v/>
      </c>
      <c r="H76" s="5"/>
      <c r="I76" s="5"/>
      <c r="J76" s="6"/>
    </row>
    <row r="77" customFormat="false" ht="15" hidden="false" customHeight="true" outlineLevel="0" collapsed="false">
      <c r="A77" s="5" t="n">
        <v>75</v>
      </c>
      <c r="B77" s="5"/>
      <c r="C77" s="6"/>
      <c r="D77" s="5"/>
      <c r="E77" s="5"/>
      <c r="F77" s="5"/>
      <c r="G77" s="7" t="str">
        <f aca="false">IF(AND(ISNUMBER(D77),ISNUMBER(F77),D77&gt;0,F77&gt;0),D77*F77/1000,"")</f>
        <v/>
      </c>
      <c r="H77" s="5"/>
      <c r="I77" s="5"/>
      <c r="J77" s="6"/>
    </row>
    <row r="78" customFormat="false" ht="15" hidden="false" customHeight="true" outlineLevel="0" collapsed="false">
      <c r="A78" s="5" t="n">
        <v>76</v>
      </c>
      <c r="B78" s="5"/>
      <c r="C78" s="6"/>
      <c r="D78" s="5"/>
      <c r="E78" s="5"/>
      <c r="F78" s="5"/>
      <c r="G78" s="7" t="str">
        <f aca="false">IF(AND(ISNUMBER(D78),ISNUMBER(F78),D78&gt;0,F78&gt;0),D78*F78/1000,"")</f>
        <v/>
      </c>
      <c r="H78" s="5"/>
      <c r="I78" s="5"/>
      <c r="J78" s="6"/>
    </row>
    <row r="79" customFormat="false" ht="15" hidden="false" customHeight="true" outlineLevel="0" collapsed="false">
      <c r="A79" s="5" t="n">
        <v>77</v>
      </c>
      <c r="B79" s="5"/>
      <c r="C79" s="6"/>
      <c r="D79" s="5"/>
      <c r="E79" s="5"/>
      <c r="F79" s="5"/>
      <c r="G79" s="7" t="str">
        <f aca="false">IF(AND(ISNUMBER(D79),ISNUMBER(F79),D79&gt;0,F79&gt;0),D79*F79/1000,"")</f>
        <v/>
      </c>
      <c r="H79" s="5"/>
      <c r="I79" s="5"/>
      <c r="J79" s="6"/>
    </row>
    <row r="80" customFormat="false" ht="15" hidden="false" customHeight="true" outlineLevel="0" collapsed="false">
      <c r="A80" s="5" t="n">
        <v>78</v>
      </c>
      <c r="B80" s="5"/>
      <c r="C80" s="6"/>
      <c r="D80" s="5"/>
      <c r="E80" s="5"/>
      <c r="F80" s="5"/>
      <c r="G80" s="7" t="str">
        <f aca="false">IF(AND(ISNUMBER(D80),ISNUMBER(F80),D80&gt;0,F80&gt;0),D80*F80/1000,"")</f>
        <v/>
      </c>
      <c r="H80" s="5"/>
      <c r="I80" s="5"/>
      <c r="J80" s="6"/>
    </row>
    <row r="81" customFormat="false" ht="15" hidden="false" customHeight="true" outlineLevel="0" collapsed="false">
      <c r="A81" s="5" t="n">
        <v>79</v>
      </c>
      <c r="B81" s="5"/>
      <c r="C81" s="6"/>
      <c r="D81" s="5"/>
      <c r="E81" s="5"/>
      <c r="F81" s="5"/>
      <c r="G81" s="7" t="str">
        <f aca="false">IF(AND(ISNUMBER(D81),ISNUMBER(F81),D81&gt;0,F81&gt;0),D81*F81/1000,"")</f>
        <v/>
      </c>
      <c r="H81" s="5"/>
      <c r="I81" s="5"/>
      <c r="J81" s="6"/>
    </row>
    <row r="82" customFormat="false" ht="15" hidden="false" customHeight="true" outlineLevel="0" collapsed="false">
      <c r="A82" s="5" t="n">
        <v>80</v>
      </c>
      <c r="B82" s="5"/>
      <c r="C82" s="6"/>
      <c r="D82" s="5"/>
      <c r="E82" s="5"/>
      <c r="F82" s="5"/>
      <c r="G82" s="7" t="str">
        <f aca="false">IF(OR(D81="",F81=""),"",D81*F81/1000)</f>
        <v/>
      </c>
      <c r="H82" s="5"/>
      <c r="I82" s="5"/>
      <c r="J82" s="6"/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3:B81" type="list">
      <formula1>"冬季保暖,冬季小物,文具,日用品,电子产品,其他"</formula1>
      <formula2>0</formula2>
    </dataValidation>
    <dataValidation allowBlank="true" errorStyle="stop" operator="between" showDropDown="false" showErrorMessage="false" showInputMessage="false" sqref="H3:H81" type="list">
      <formula1>"高,中,低"</formula1>
      <formula2>0</formula2>
    </dataValidation>
    <dataValidation allowBlank="true" errorStyle="stop" operator="between" showDropDown="false" showErrorMessage="false" showInputMessage="false" sqref="I3:I81" type="list">
      <formula1>"是,否,待定"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zeroHeight="false" outlineLevelRow="0" outlineLevelCol="0"/>
  <cols>
    <col collapsed="false" customWidth="true" hidden="false" outlineLevel="0" max="1" min="1" style="1" width="10.92"/>
    <col collapsed="false" customWidth="true" hidden="false" outlineLevel="0" max="2" min="2" style="1" width="36.39"/>
    <col collapsed="false" customWidth="true" hidden="false" outlineLevel="0" max="3" min="3" style="1" width="25.47"/>
  </cols>
  <sheetData>
    <row r="1" customFormat="false" ht="15" hidden="false" customHeight="true" outlineLevel="0" collapsed="false">
      <c r="A1" s="8" t="s">
        <v>2</v>
      </c>
      <c r="B1" s="8" t="s">
        <v>45</v>
      </c>
      <c r="C1" s="8" t="s">
        <v>46</v>
      </c>
    </row>
    <row r="2" customFormat="false" ht="15" hidden="false" customHeight="true" outlineLevel="0" collapsed="false">
      <c r="A2" s="9" t="s">
        <v>11</v>
      </c>
      <c r="B2" s="9" t="s">
        <v>47</v>
      </c>
      <c r="C2" s="9" t="s">
        <v>48</v>
      </c>
    </row>
    <row r="3" customFormat="false" ht="15" hidden="false" customHeight="true" outlineLevel="0" collapsed="false">
      <c r="A3" s="9" t="s">
        <v>23</v>
      </c>
      <c r="B3" s="9" t="s">
        <v>49</v>
      </c>
      <c r="C3" s="9" t="s">
        <v>50</v>
      </c>
    </row>
    <row r="4" customFormat="false" ht="15" hidden="false" customHeight="true" outlineLevel="0" collapsed="false">
      <c r="A4" s="9" t="s">
        <v>31</v>
      </c>
      <c r="B4" s="9" t="s">
        <v>51</v>
      </c>
      <c r="C4" s="9" t="s">
        <v>52</v>
      </c>
    </row>
    <row r="5" customFormat="false" ht="15" hidden="false" customHeight="true" outlineLevel="0" collapsed="false">
      <c r="A5" s="10" t="s">
        <v>53</v>
      </c>
      <c r="B5" s="10" t="s">
        <v>54</v>
      </c>
      <c r="C5" s="10" t="s">
        <v>55</v>
      </c>
    </row>
    <row r="6" customFormat="false" ht="16.5" hidden="false" customHeight="true" outlineLevel="0" collapsed="false">
      <c r="A6" s="9" t="s">
        <v>38</v>
      </c>
      <c r="B6" s="9" t="s">
        <v>56</v>
      </c>
      <c r="C6" s="11" t="s">
        <v>57</v>
      </c>
    </row>
    <row r="7" customFormat="false" ht="16.5" hidden="false" customHeight="true" outlineLevel="0" collapsed="false">
      <c r="A7" s="9" t="s">
        <v>58</v>
      </c>
      <c r="B7" s="9" t="s">
        <v>59</v>
      </c>
      <c r="C7" s="9" t="s">
        <v>60</v>
      </c>
    </row>
    <row r="8" customFormat="false" ht="15" hidden="false" customHeight="true" outlineLevel="0" collapsed="false">
      <c r="A8" s="9" t="s">
        <v>43</v>
      </c>
      <c r="B8" s="9" t="s">
        <v>61</v>
      </c>
      <c r="C8" s="9"/>
    </row>
    <row r="9" customFormat="false" ht="16.5" hidden="false" customHeight="true" outlineLevel="0" collapsed="false">
      <c r="A9" s="12" t="s">
        <v>62</v>
      </c>
      <c r="B9" s="13" t="s">
        <v>63</v>
      </c>
      <c r="C9" s="13"/>
    </row>
  </sheetData>
  <mergeCells count="1">
    <mergeCell ref="B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zeroHeight="false" outlineLevelRow="0" outlineLevelCol="0"/>
  <cols>
    <col collapsed="false" customWidth="true" hidden="false" outlineLevel="0" max="1" min="1" style="1" width="16.38"/>
    <col collapsed="false" customWidth="true" hidden="false" outlineLevel="0" max="2" min="2" style="1" width="12.74"/>
  </cols>
  <sheetData>
    <row r="1" customFormat="false" ht="15" hidden="false" customHeight="true" outlineLevel="0" collapsed="false">
      <c r="A1" s="14" t="s">
        <v>64</v>
      </c>
      <c r="B1" s="14" t="s">
        <v>65</v>
      </c>
    </row>
    <row r="2" customFormat="false" ht="15" hidden="false" customHeight="true" outlineLevel="0" collapsed="false">
      <c r="A2" s="1" t="s">
        <v>66</v>
      </c>
      <c r="B2" s="1" t="n">
        <f aca="false">COUNTA(转运清单!C3:C81)</f>
        <v>13</v>
      </c>
    </row>
    <row r="3" customFormat="false" ht="15" hidden="false" customHeight="true" outlineLevel="0" collapsed="false">
      <c r="A3" s="1" t="s">
        <v>67</v>
      </c>
      <c r="B3" s="1" t="n">
        <f aca="false">COUNTIF(转运清单!I3:I81,"是")</f>
        <v>0</v>
      </c>
    </row>
    <row r="4" customFormat="false" ht="16.5" hidden="false" customHeight="true" outlineLevel="0" collapsed="false">
      <c r="A4" s="1" t="s">
        <v>68</v>
      </c>
      <c r="B4" s="15" t="n">
        <f aca="false">SUMIF(转运清单!G3:G81,"&gt;0")</f>
        <v>0</v>
      </c>
    </row>
    <row r="5" customFormat="false" ht="15" hidden="false" customHeight="true" outlineLevel="0" collapsed="false">
      <c r="A5" s="1" t="s">
        <v>69</v>
      </c>
      <c r="B5" s="1" t="n">
        <f aca="false">COUNTIF(转运清单!H3:H81,"高")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2026-07-03T19:26:54Z</dcterms:created>
  <dc:creator>openpyxl</dc:creator>
  <dc:description/>
  <dc:language>zh-CN</dc:language>
  <cp:lastModifiedBy/>
  <dcterms:modified xsi:type="dcterms:W3CDTF">2026-07-03T19:28:10Z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